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 Scale" sheetId="1" state="visible" r:id="rId1"/>
    <sheet name="All Ranks - Award 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/dd/yyyy"/>
    <numFmt numFmtId="166" formatCode="$#,##0.00;($#,##0.00);-"/>
    <numFmt numFmtId="167" formatCode="0.000000"/>
    <numFmt numFmtId="168" formatCode="0.0%"/>
    <numFmt numFmtId="169" formatCode="#,##0.0"/>
    <numFmt numFmtId="170" formatCode="$#,##0;($#,##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166" fontId="5" fillId="0" borderId="0" pivotButton="0" quotePrefix="0" xfId="0"/>
    <xf numFmtId="167" fontId="4" fillId="0" borderId="0" pivotButton="0" quotePrefix="0" xfId="0"/>
    <xf numFmtId="0" fontId="3" fillId="2" borderId="0" pivotButton="0" quotePrefix="0" xfId="0"/>
    <xf numFmtId="166" fontId="3" fillId="2" borderId="0" pivotButton="0" quotePrefix="0" xfId="0"/>
    <xf numFmtId="166" fontId="4" fillId="0" borderId="0" pivotButton="0" quotePrefix="0" xfId="0"/>
    <xf numFmtId="1" fontId="4" fillId="0" borderId="0" pivotButton="0" quotePrefix="0" xfId="0"/>
    <xf numFmtId="168" fontId="4" fillId="0" borderId="0" pivotButton="0" quotePrefix="0" xfId="0"/>
    <xf numFmtId="166" fontId="3" fillId="0" borderId="0" pivotButton="0" quotePrefix="0" xfId="0"/>
    <xf numFmtId="165" fontId="5" fillId="3" borderId="0" pivotButton="0" quotePrefix="0" xfId="0"/>
    <xf numFmtId="3" fontId="5" fillId="0" borderId="0" pivotButton="0" quotePrefix="0" xfId="0"/>
    <xf numFmtId="169" fontId="5" fillId="0" borderId="0" pivotButton="0" quotePrefix="0" xfId="0"/>
    <xf numFmtId="2" fontId="5" fillId="0" borderId="0" pivotButton="0" quotePrefix="0" xfId="0"/>
    <xf numFmtId="168" fontId="5" fillId="3" borderId="0" pivotButton="0" quotePrefix="0" xfId="0"/>
    <xf numFmtId="0" fontId="5" fillId="0" borderId="0" pivotButton="0" quotePrefix="0" xfId="0"/>
    <xf numFmtId="168" fontId="5" fillId="0" borderId="0" pivotButton="0" quotePrefix="0" xfId="0"/>
    <xf numFmtId="0" fontId="3" fillId="0" borderId="0" applyAlignment="1" pivotButton="0" quotePrefix="0" xfId="0">
      <alignment horizontal="center"/>
    </xf>
    <xf numFmtId="170" fontId="5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170" fontId="3" fillId="0" borderId="1" pivotButton="0" quotePrefix="0" xfId="0"/>
    <xf numFmtId="170" fontId="6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B6" authorId="0" shapeId="0">
      <text>
        <t>Base pay scale in effect for this step BEFORE the Act 111 Award, from GM# 23-73 (same figures the photo of the original sheet shows). Source: user-supplied sheet; cross-checked against the Firefighter row of the Local 22 pre-award scale.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Firefighter Pay Scale — Updated with the Act 111 Award Raises</t>
        </is>
      </c>
    </row>
    <row r="2">
      <c r="A2" s="2" t="inlineStr">
        <is>
          <t>Rebuild of the GM# 23-73 step sheet with the 2025–2027 Act 111 Award raises layered in (+3% 07/01/2025, +1% 01/01/2026, +3% 07/01/2026, compounded) and the award longevity schedule. Every figure is a live formula — change a blue or yellow cell and the whole sheet recalculates.</t>
        </is>
      </c>
    </row>
    <row r="3">
      <c r="A3" s="2" t="inlineStr">
        <is>
          <t>Blue = typed input · Yellow = check this against your own record · Black = calculated</t>
        </is>
      </c>
    </row>
    <row r="4">
      <c r="A4" s="3" t="inlineStr">
        <is>
          <t>Effective Date</t>
        </is>
      </c>
      <c r="B4" s="4" t="n">
        <v>45022</v>
      </c>
      <c r="C4" s="4" t="n">
        <v>45297</v>
      </c>
      <c r="D4" s="4" t="n">
        <v>45474</v>
      </c>
      <c r="E4" s="4" t="n">
        <v>45753</v>
      </c>
      <c r="F4" s="4" t="n">
        <v>45839</v>
      </c>
      <c r="G4" s="4" t="n">
        <v>46023</v>
      </c>
      <c r="H4" s="4" t="n">
        <v>46118</v>
      </c>
      <c r="I4" s="4" t="n">
        <v>46204</v>
      </c>
      <c r="J4" s="4" t="n">
        <v>46483</v>
      </c>
      <c r="K4" s="4" t="n">
        <v>46849</v>
      </c>
    </row>
    <row r="5">
      <c r="A5" s="5" t="inlineStr">
        <is>
          <t>What Changes</t>
        </is>
      </c>
      <c r="B5" s="6" t="inlineStr">
        <is>
          <t>Step 1</t>
        </is>
      </c>
      <c r="C5" s="6" t="inlineStr">
        <is>
          <t>Step 2</t>
        </is>
      </c>
      <c r="D5" s="6" t="inlineStr">
        <is>
          <t>5% Raise</t>
        </is>
      </c>
      <c r="E5" s="6" t="inlineStr">
        <is>
          <t>Step 3</t>
        </is>
      </c>
      <c r="F5" s="6" t="inlineStr">
        <is>
          <t>Award +3%</t>
        </is>
      </c>
      <c r="G5" s="6" t="inlineStr">
        <is>
          <t>Award +1%</t>
        </is>
      </c>
      <c r="H5" s="6" t="inlineStr">
        <is>
          <t>Step 4</t>
        </is>
      </c>
      <c r="I5" s="6" t="inlineStr">
        <is>
          <t>Award +3%</t>
        </is>
      </c>
      <c r="J5" s="6" t="inlineStr">
        <is>
          <t>Step 5</t>
        </is>
      </c>
      <c r="K5" s="6" t="inlineStr">
        <is>
          <t>Step 6</t>
        </is>
      </c>
    </row>
    <row r="6">
      <c r="A6" s="7" t="inlineStr">
        <is>
          <t>Scale Salary from GM# 23-73 (before award)</t>
        </is>
      </c>
      <c r="B6" s="8" t="n">
        <v>61888</v>
      </c>
      <c r="C6" s="8" t="n">
        <v>66183</v>
      </c>
      <c r="D6" s="8" t="n">
        <v>69492.14999999999</v>
      </c>
      <c r="E6" s="8" t="n">
        <v>75814.2</v>
      </c>
      <c r="F6" s="8" t="n">
        <v>75814.2</v>
      </c>
      <c r="G6" s="8" t="n">
        <v>75814.2</v>
      </c>
      <c r="H6" s="8" t="n">
        <v>81226.95</v>
      </c>
      <c r="I6" s="8" t="n">
        <v>81226.95</v>
      </c>
      <c r="J6" s="8" t="n">
        <v>86642.85000000001</v>
      </c>
      <c r="K6" s="8" t="n">
        <v>90252.75</v>
      </c>
    </row>
    <row r="7">
      <c r="A7" s="7" t="inlineStr">
        <is>
          <t>Award Raise Factor (compounded)</t>
        </is>
      </c>
      <c r="B7" s="9">
        <f>IF(B$4&gt;=$B$35,1+$C$35,1)*IF(B$4&gt;=$B$36,1+$C$36,1)*IF(B$4&gt;=$B$37,1+$C$37,1)</f>
        <v/>
      </c>
      <c r="C7" s="9">
        <f>IF(C$4&gt;=$B$35,1+$C$35,1)*IF(C$4&gt;=$B$36,1+$C$36,1)*IF(C$4&gt;=$B$37,1+$C$37,1)</f>
        <v/>
      </c>
      <c r="D7" s="9">
        <f>IF(D$4&gt;=$B$35,1+$C$35,1)*IF(D$4&gt;=$B$36,1+$C$36,1)*IF(D$4&gt;=$B$37,1+$C$37,1)</f>
        <v/>
      </c>
      <c r="E7" s="9">
        <f>IF(E$4&gt;=$B$35,1+$C$35,1)*IF(E$4&gt;=$B$36,1+$C$36,1)*IF(E$4&gt;=$B$37,1+$C$37,1)</f>
        <v/>
      </c>
      <c r="F7" s="9">
        <f>IF(F$4&gt;=$B$35,1+$C$35,1)*IF(F$4&gt;=$B$36,1+$C$36,1)*IF(F$4&gt;=$B$37,1+$C$37,1)</f>
        <v/>
      </c>
      <c r="G7" s="9">
        <f>IF(G$4&gt;=$B$35,1+$C$35,1)*IF(G$4&gt;=$B$36,1+$C$36,1)*IF(G$4&gt;=$B$37,1+$C$37,1)</f>
        <v/>
      </c>
      <c r="H7" s="9">
        <f>IF(H$4&gt;=$B$35,1+$C$35,1)*IF(H$4&gt;=$B$36,1+$C$36,1)*IF(H$4&gt;=$B$37,1+$C$37,1)</f>
        <v/>
      </c>
      <c r="I7" s="9">
        <f>IF(I$4&gt;=$B$35,1+$C$35,1)*IF(I$4&gt;=$B$36,1+$C$36,1)*IF(I$4&gt;=$B$37,1+$C$37,1)</f>
        <v/>
      </c>
      <c r="J7" s="9">
        <f>IF(J$4&gt;=$B$35,1+$C$35,1)*IF(J$4&gt;=$B$36,1+$C$36,1)*IF(J$4&gt;=$B$37,1+$C$37,1)</f>
        <v/>
      </c>
      <c r="K7" s="9">
        <f>IF(K$4&gt;=$B$35,1+$C$35,1)*IF(K$4&gt;=$B$36,1+$C$36,1)*IF(K$4&gt;=$B$37,1+$C$37,1)</f>
        <v/>
      </c>
    </row>
    <row r="8">
      <c r="A8" s="10" t="inlineStr">
        <is>
          <t>Salary WITH Award Raises</t>
        </is>
      </c>
      <c r="B8" s="11">
        <f>B6*B7</f>
        <v/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  <c r="G8" s="11">
        <f>G6*G7</f>
        <v/>
      </c>
      <c r="H8" s="11">
        <f>H6*H7</f>
        <v/>
      </c>
      <c r="I8" s="11">
        <f>I6*I7</f>
        <v/>
      </c>
      <c r="J8" s="11">
        <f>J6*J7</f>
        <v/>
      </c>
      <c r="K8" s="11">
        <f>K6*K7</f>
        <v/>
      </c>
    </row>
    <row r="9">
      <c r="A9" s="7" t="inlineStr">
        <is>
          <t>Hourly Rate (Divide by 2192)</t>
        </is>
      </c>
      <c r="B9" s="12">
        <f>B8/$B$26</f>
        <v/>
      </c>
      <c r="C9" s="12">
        <f>C8/$B$26</f>
        <v/>
      </c>
      <c r="D9" s="12">
        <f>D8/$B$26</f>
        <v/>
      </c>
      <c r="E9" s="12">
        <f>E8/$B$26</f>
        <v/>
      </c>
      <c r="F9" s="12">
        <f>F8/$B$26</f>
        <v/>
      </c>
      <c r="G9" s="12">
        <f>G8/$B$26</f>
        <v/>
      </c>
      <c r="H9" s="12">
        <f>H8/$B$26</f>
        <v/>
      </c>
      <c r="I9" s="12">
        <f>I8/$B$26</f>
        <v/>
      </c>
      <c r="J9" s="12">
        <f>J8/$B$26</f>
        <v/>
      </c>
      <c r="K9" s="12">
        <f>K8/$B$26</f>
        <v/>
      </c>
    </row>
    <row r="10">
      <c r="A10" s="7" t="inlineStr">
        <is>
          <t>Bi-Weekly Base Pay (84 hrs)</t>
        </is>
      </c>
      <c r="B10" s="12">
        <f>B9*$B$27</f>
        <v/>
      </c>
      <c r="C10" s="12">
        <f>C9*$B$27</f>
        <v/>
      </c>
      <c r="D10" s="12">
        <f>D9*$B$27</f>
        <v/>
      </c>
      <c r="E10" s="12">
        <f>E9*$B$27</f>
        <v/>
      </c>
      <c r="F10" s="12">
        <f>F9*$B$27</f>
        <v/>
      </c>
      <c r="G10" s="12">
        <f>G9*$B$27</f>
        <v/>
      </c>
      <c r="H10" s="12">
        <f>H9*$B$27</f>
        <v/>
      </c>
      <c r="I10" s="12">
        <f>I9*$B$27</f>
        <v/>
      </c>
      <c r="J10" s="12">
        <f>J9*$B$27</f>
        <v/>
      </c>
      <c r="K10" s="12">
        <f>K9*$B$27</f>
        <v/>
      </c>
    </row>
    <row r="11">
      <c r="A11" s="7" t="inlineStr">
        <is>
          <t>Premium/OT Hourly (Divide by 2088)</t>
        </is>
      </c>
      <c r="B11" s="12">
        <f>B8/$B$29</f>
        <v/>
      </c>
      <c r="C11" s="12">
        <f>C8/$B$29</f>
        <v/>
      </c>
      <c r="D11" s="12">
        <f>D8/$B$29</f>
        <v/>
      </c>
      <c r="E11" s="12">
        <f>E8/$B$29</f>
        <v/>
      </c>
      <c r="F11" s="12">
        <f>F8/$B$29</f>
        <v/>
      </c>
      <c r="G11" s="12">
        <f>G8/$B$29</f>
        <v/>
      </c>
      <c r="H11" s="12">
        <f>H8/$B$29</f>
        <v/>
      </c>
      <c r="I11" s="12">
        <f>I8/$B$29</f>
        <v/>
      </c>
      <c r="J11" s="12">
        <f>J8/$B$29</f>
        <v/>
      </c>
      <c r="K11" s="12">
        <f>K8/$B$29</f>
        <v/>
      </c>
    </row>
    <row r="12">
      <c r="A12" s="7" t="inlineStr">
        <is>
          <t>Bi-Weekly Premium Pay (8.4 hrs)</t>
        </is>
      </c>
      <c r="B12" s="12">
        <f>B11*$B$28</f>
        <v/>
      </c>
      <c r="C12" s="12">
        <f>C11*$B$28</f>
        <v/>
      </c>
      <c r="D12" s="12">
        <f>D11*$B$28</f>
        <v/>
      </c>
      <c r="E12" s="12">
        <f>E11*$B$28</f>
        <v/>
      </c>
      <c r="F12" s="12">
        <f>F11*$B$28</f>
        <v/>
      </c>
      <c r="G12" s="12">
        <f>G11*$B$28</f>
        <v/>
      </c>
      <c r="H12" s="12">
        <f>H11*$B$28</f>
        <v/>
      </c>
      <c r="I12" s="12">
        <f>I11*$B$28</f>
        <v/>
      </c>
      <c r="J12" s="12">
        <f>J11*$B$28</f>
        <v/>
      </c>
      <c r="K12" s="12">
        <f>K11*$B$28</f>
        <v/>
      </c>
    </row>
    <row r="13">
      <c r="A13" s="7" t="inlineStr">
        <is>
          <t>Years of City Service</t>
        </is>
      </c>
      <c r="B13" s="13">
        <f>YEAR(B$4)-YEAR($B$25)-IF(OR(MONTH(B$4)&lt;MONTH($B$25),AND(MONTH(B$4)=MONTH($B$25),DAY(B$4)&lt;DAY($B$25))),1,0)</f>
        <v/>
      </c>
      <c r="C13" s="13">
        <f>YEAR(C$4)-YEAR($B$25)-IF(OR(MONTH(C$4)&lt;MONTH($B$25),AND(MONTH(C$4)=MONTH($B$25),DAY(C$4)&lt;DAY($B$25))),1,0)</f>
        <v/>
      </c>
      <c r="D13" s="13">
        <f>YEAR(D$4)-YEAR($B$25)-IF(OR(MONTH(D$4)&lt;MONTH($B$25),AND(MONTH(D$4)=MONTH($B$25),DAY(D$4)&lt;DAY($B$25))),1,0)</f>
        <v/>
      </c>
      <c r="E13" s="13">
        <f>YEAR(E$4)-YEAR($B$25)-IF(OR(MONTH(E$4)&lt;MONTH($B$25),AND(MONTH(E$4)=MONTH($B$25),DAY(E$4)&lt;DAY($B$25))),1,0)</f>
        <v/>
      </c>
      <c r="F13" s="13">
        <f>YEAR(F$4)-YEAR($B$25)-IF(OR(MONTH(F$4)&lt;MONTH($B$25),AND(MONTH(F$4)=MONTH($B$25),DAY(F$4)&lt;DAY($B$25))),1,0)</f>
        <v/>
      </c>
      <c r="G13" s="13">
        <f>YEAR(G$4)-YEAR($B$25)-IF(OR(MONTH(G$4)&lt;MONTH($B$25),AND(MONTH(G$4)=MONTH($B$25),DAY(G$4)&lt;DAY($B$25))),1,0)</f>
        <v/>
      </c>
      <c r="H13" s="13">
        <f>YEAR(H$4)-YEAR($B$25)-IF(OR(MONTH(H$4)&lt;MONTH($B$25),AND(MONTH(H$4)=MONTH($B$25),DAY(H$4)&lt;DAY($B$25))),1,0)</f>
        <v/>
      </c>
      <c r="I13" s="13">
        <f>YEAR(I$4)-YEAR($B$25)-IF(OR(MONTH(I$4)&lt;MONTH($B$25),AND(MONTH(I$4)=MONTH($B$25),DAY(I$4)&lt;DAY($B$25))),1,0)</f>
        <v/>
      </c>
      <c r="J13" s="13">
        <f>YEAR(J$4)-YEAR($B$25)-IF(OR(MONTH(J$4)&lt;MONTH($B$25),AND(MONTH(J$4)=MONTH($B$25),DAY(J$4)&lt;DAY($B$25))),1,0)</f>
        <v/>
      </c>
      <c r="K13" s="13">
        <f>YEAR(K$4)-YEAR($B$25)-IF(OR(MONTH(K$4)&lt;MONTH($B$25),AND(MONTH(K$4)=MONTH($B$25),DAY(K$4)&lt;DAY($B$25))),1,0)</f>
        <v/>
      </c>
    </row>
    <row r="14">
      <c r="A14" s="7" t="inlineStr">
        <is>
          <t>Longevity % (award schedule from 01/01/2026)</t>
        </is>
      </c>
      <c r="B14" s="14">
        <f>IF(B$4&gt;=$B$38,VLOOKUP(B13,$A$41:$C$48,3,TRUE),VLOOKUP(B13,$A$41:$B$48,2,TRUE))</f>
        <v/>
      </c>
      <c r="C14" s="14">
        <f>IF(C$4&gt;=$B$38,VLOOKUP(C13,$A$41:$C$48,3,TRUE),VLOOKUP(C13,$A$41:$B$48,2,TRUE))</f>
        <v/>
      </c>
      <c r="D14" s="14">
        <f>IF(D$4&gt;=$B$38,VLOOKUP(D13,$A$41:$C$48,3,TRUE),VLOOKUP(D13,$A$41:$B$48,2,TRUE))</f>
        <v/>
      </c>
      <c r="E14" s="14">
        <f>IF(E$4&gt;=$B$38,VLOOKUP(E13,$A$41:$C$48,3,TRUE),VLOOKUP(E13,$A$41:$B$48,2,TRUE))</f>
        <v/>
      </c>
      <c r="F14" s="14">
        <f>IF(F$4&gt;=$B$38,VLOOKUP(F13,$A$41:$C$48,3,TRUE),VLOOKUP(F13,$A$41:$B$48,2,TRUE))</f>
        <v/>
      </c>
      <c r="G14" s="14">
        <f>IF(G$4&gt;=$B$38,VLOOKUP(G13,$A$41:$C$48,3,TRUE),VLOOKUP(G13,$A$41:$B$48,2,TRUE))</f>
        <v/>
      </c>
      <c r="H14" s="14">
        <f>IF(H$4&gt;=$B$38,VLOOKUP(H13,$A$41:$C$48,3,TRUE),VLOOKUP(H13,$A$41:$B$48,2,TRUE))</f>
        <v/>
      </c>
      <c r="I14" s="14">
        <f>IF(I$4&gt;=$B$38,VLOOKUP(I13,$A$41:$C$48,3,TRUE),VLOOKUP(I13,$A$41:$B$48,2,TRUE))</f>
        <v/>
      </c>
      <c r="J14" s="14">
        <f>IF(J$4&gt;=$B$38,VLOOKUP(J13,$A$41:$C$48,3,TRUE),VLOOKUP(J13,$A$41:$B$48,2,TRUE))</f>
        <v/>
      </c>
      <c r="K14" s="14">
        <f>IF(K$4&gt;=$B$38,VLOOKUP(K13,$A$41:$C$48,3,TRUE),VLOOKUP(K13,$A$41:$B$48,2,TRUE))</f>
        <v/>
      </c>
    </row>
    <row r="15">
      <c r="A15" s="7" t="inlineStr">
        <is>
          <t>Bi-Weekly Longevity</t>
        </is>
      </c>
      <c r="B15" s="12">
        <f>(B10+B12)*B14</f>
        <v/>
      </c>
      <c r="C15" s="12">
        <f>(C10+C12)*C14</f>
        <v/>
      </c>
      <c r="D15" s="12">
        <f>(D10+D12)*D14</f>
        <v/>
      </c>
      <c r="E15" s="12">
        <f>(E10+E12)*E14</f>
        <v/>
      </c>
      <c r="F15" s="12">
        <f>(F10+F12)*F14</f>
        <v/>
      </c>
      <c r="G15" s="12">
        <f>(G10+G12)*G14</f>
        <v/>
      </c>
      <c r="H15" s="12">
        <f>(H10+H12)*H14</f>
        <v/>
      </c>
      <c r="I15" s="12">
        <f>(I10+I12)*I14</f>
        <v/>
      </c>
      <c r="J15" s="12">
        <f>(J10+J12)*J14</f>
        <v/>
      </c>
      <c r="K15" s="12">
        <f>(K10+K12)*K14</f>
        <v/>
      </c>
    </row>
    <row r="16">
      <c r="A16" s="3" t="inlineStr">
        <is>
          <t>Total Bi-Weekly Pay (Base + Prem + Long)</t>
        </is>
      </c>
      <c r="B16" s="15">
        <f>B10+B12+B15</f>
        <v/>
      </c>
      <c r="C16" s="15">
        <f>C10+C12+C15</f>
        <v/>
      </c>
      <c r="D16" s="15">
        <f>D10+D12+D15</f>
        <v/>
      </c>
      <c r="E16" s="15">
        <f>E10+E12+E15</f>
        <v/>
      </c>
      <c r="F16" s="15">
        <f>F10+F12+F15</f>
        <v/>
      </c>
      <c r="G16" s="15">
        <f>G10+G12+G15</f>
        <v/>
      </c>
      <c r="H16" s="15">
        <f>H10+H12+H15</f>
        <v/>
      </c>
      <c r="I16" s="15">
        <f>I10+I12+I15</f>
        <v/>
      </c>
      <c r="J16" s="15">
        <f>J10+J12+J15</f>
        <v/>
      </c>
      <c r="K16" s="15">
        <f>K10+K12+K15</f>
        <v/>
      </c>
    </row>
    <row r="17">
      <c r="A17" s="10" t="inlineStr">
        <is>
          <t>Total Annual Pay</t>
        </is>
      </c>
      <c r="B17" s="11">
        <f>B16*$B$32</f>
        <v/>
      </c>
      <c r="C17" s="11">
        <f>C16*$B$32</f>
        <v/>
      </c>
      <c r="D17" s="11">
        <f>D16*$B$32</f>
        <v/>
      </c>
      <c r="E17" s="11">
        <f>E16*$B$32</f>
        <v/>
      </c>
      <c r="F17" s="11">
        <f>F16*$B$32</f>
        <v/>
      </c>
      <c r="G17" s="11">
        <f>G16*$B$32</f>
        <v/>
      </c>
      <c r="H17" s="11">
        <f>H16*$B$32</f>
        <v/>
      </c>
      <c r="I17" s="11">
        <f>I16*$B$32</f>
        <v/>
      </c>
      <c r="J17" s="11">
        <f>J16*$B$32</f>
        <v/>
      </c>
      <c r="K17" s="11">
        <f>K16*$B$32</f>
        <v/>
      </c>
    </row>
    <row r="18">
      <c r="A18" s="7" t="inlineStr">
        <is>
          <t>OT Rate (12 hrs, incl. longevity)</t>
        </is>
      </c>
      <c r="B18" s="12">
        <f>B11*$B$30*$B$31*(1+B14)</f>
        <v/>
      </c>
      <c r="C18" s="12">
        <f>C11*$B$30*$B$31*(1+C14)</f>
        <v/>
      </c>
      <c r="D18" s="12">
        <f>D11*$B$30*$B$31*(1+D14)</f>
        <v/>
      </c>
      <c r="E18" s="12">
        <f>E11*$B$30*$B$31*(1+E14)</f>
        <v/>
      </c>
      <c r="F18" s="12">
        <f>F11*$B$30*$B$31*(1+F14)</f>
        <v/>
      </c>
      <c r="G18" s="12">
        <f>G11*$B$30*$B$31*(1+G14)</f>
        <v/>
      </c>
      <c r="H18" s="12">
        <f>H11*$B$30*$B$31*(1+H14)</f>
        <v/>
      </c>
      <c r="I18" s="12">
        <f>I11*$B$30*$B$31*(1+I14)</f>
        <v/>
      </c>
      <c r="J18" s="12">
        <f>J11*$B$30*$B$31*(1+J14)</f>
        <v/>
      </c>
      <c r="K18" s="12">
        <f>K11*$B$30*$B$31*(1+K14)</f>
        <v/>
      </c>
    </row>
    <row r="19"/>
    <row r="20">
      <c r="A20" s="7" t="inlineStr">
        <is>
          <t>Total Annual WITHOUT the award (old sheet)</t>
        </is>
      </c>
      <c r="B20" s="12">
        <f>(B6/$B$26*$B$27+B6/$B$29*$B$28)*(1+VLOOKUP(B13,$A$41:$B$48,2,TRUE))*$B$32</f>
        <v/>
      </c>
      <c r="C20" s="12">
        <f>(C6/$B$26*$B$27+C6/$B$29*$B$28)*(1+VLOOKUP(C13,$A$41:$B$48,2,TRUE))*$B$32</f>
        <v/>
      </c>
      <c r="D20" s="12">
        <f>(D6/$B$26*$B$27+D6/$B$29*$B$28)*(1+VLOOKUP(D13,$A$41:$B$48,2,TRUE))*$B$32</f>
        <v/>
      </c>
      <c r="E20" s="12">
        <f>(E6/$B$26*$B$27+E6/$B$29*$B$28)*(1+VLOOKUP(E13,$A$41:$B$48,2,TRUE))*$B$32</f>
        <v/>
      </c>
      <c r="F20" s="12">
        <f>(F6/$B$26*$B$27+F6/$B$29*$B$28)*(1+VLOOKUP(F13,$A$41:$B$48,2,TRUE))*$B$32</f>
        <v/>
      </c>
      <c r="G20" s="12">
        <f>(G6/$B$26*$B$27+G6/$B$29*$B$28)*(1+VLOOKUP(G13,$A$41:$B$48,2,TRUE))*$B$32</f>
        <v/>
      </c>
      <c r="H20" s="12">
        <f>(H6/$B$26*$B$27+H6/$B$29*$B$28)*(1+VLOOKUP(H13,$A$41:$B$48,2,TRUE))*$B$32</f>
        <v/>
      </c>
      <c r="I20" s="12">
        <f>(I6/$B$26*$B$27+I6/$B$29*$B$28)*(1+VLOOKUP(I13,$A$41:$B$48,2,TRUE))*$B$32</f>
        <v/>
      </c>
      <c r="J20" s="12">
        <f>(J6/$B$26*$B$27+J6/$B$29*$B$28)*(1+VLOOKUP(J13,$A$41:$B$48,2,TRUE))*$B$32</f>
        <v/>
      </c>
      <c r="K20" s="12">
        <f>(K6/$B$26*$B$27+K6/$B$29*$B$28)*(1+VLOOKUP(K13,$A$41:$B$48,2,TRUE))*$B$32</f>
        <v/>
      </c>
    </row>
    <row r="21">
      <c r="A21" s="3" t="inlineStr">
        <is>
          <t>Annual Increase from the Award</t>
        </is>
      </c>
      <c r="B21" s="15">
        <f>B17-B20</f>
        <v/>
      </c>
      <c r="C21" s="15">
        <f>C17-C20</f>
        <v/>
      </c>
      <c r="D21" s="15">
        <f>D17-D20</f>
        <v/>
      </c>
      <c r="E21" s="15">
        <f>E17-E20</f>
        <v/>
      </c>
      <c r="F21" s="15">
        <f>F17-F20</f>
        <v/>
      </c>
      <c r="G21" s="15">
        <f>G17-G20</f>
        <v/>
      </c>
      <c r="H21" s="15">
        <f>H17-H20</f>
        <v/>
      </c>
      <c r="I21" s="15">
        <f>I17-I20</f>
        <v/>
      </c>
      <c r="J21" s="15">
        <f>J17-J20</f>
        <v/>
      </c>
      <c r="K21" s="15">
        <f>K17-K20</f>
        <v/>
      </c>
    </row>
    <row r="22"/>
    <row r="23"/>
    <row r="24">
      <c r="A24" s="1" t="inlineStr">
        <is>
          <t>INPUTS &amp; ASSUMPTIONS — edit the blue and yellow cells</t>
        </is>
      </c>
    </row>
    <row r="25">
      <c r="A25" s="7" t="inlineStr">
        <is>
          <t>City employment start date (sets longevity)</t>
        </is>
      </c>
      <c r="B25" s="16" t="n">
        <v>45022</v>
      </c>
      <c r="C25" s="2" t="inlineStr">
        <is>
          <t>ASSUMED from the Step 1 date on the original sheet — replace with your real hire date.</t>
        </is>
      </c>
    </row>
    <row r="26">
      <c r="A26" s="7" t="inlineStr">
        <is>
          <t>Annual hours (base pay divisor)</t>
        </is>
      </c>
      <c r="B26" s="17" t="n">
        <v>2192</v>
      </c>
      <c r="C26" s="2" t="inlineStr">
        <is>
          <t>From the original sheet.</t>
        </is>
      </c>
    </row>
    <row r="27">
      <c r="A27" s="7" t="inlineStr">
        <is>
          <t>Regular hours per check</t>
        </is>
      </c>
      <c r="B27" s="18" t="n">
        <v>84</v>
      </c>
    </row>
    <row r="28">
      <c r="A28" s="7" t="inlineStr">
        <is>
          <t>Premium hours per check</t>
        </is>
      </c>
      <c r="B28" s="18" t="n">
        <v>8.4</v>
      </c>
      <c r="C28" s="2" t="inlineStr">
        <is>
          <t>8 hrs x 1.05 fire premium.</t>
        </is>
      </c>
    </row>
    <row r="29">
      <c r="A29" s="7" t="inlineStr">
        <is>
          <t>Premium/OT hours divisor</t>
        </is>
      </c>
      <c r="B29" s="17" t="n">
        <v>2088</v>
      </c>
      <c r="C29" s="2" t="inlineStr">
        <is>
          <t>From the original sheet.</t>
        </is>
      </c>
    </row>
    <row r="30">
      <c r="A30" s="7" t="inlineStr">
        <is>
          <t>OT multiplier</t>
        </is>
      </c>
      <c r="B30" s="19" t="n">
        <v>1.5</v>
      </c>
    </row>
    <row r="31">
      <c r="A31" s="7" t="inlineStr">
        <is>
          <t>OT hours priced in the OT row</t>
        </is>
      </c>
      <c r="B31" s="18" t="n">
        <v>12</v>
      </c>
    </row>
    <row r="32">
      <c r="A32" s="7" t="inlineStr">
        <is>
          <t>Paychecks per year</t>
        </is>
      </c>
      <c r="B32" s="17" t="n">
        <v>26</v>
      </c>
    </row>
    <row r="33"/>
    <row r="34">
      <c r="A34" s="3" t="inlineStr">
        <is>
          <t>Act 111 Award raises</t>
        </is>
      </c>
      <c r="B34" s="3" t="inlineStr">
        <is>
          <t>Effective</t>
        </is>
      </c>
      <c r="C34" s="3" t="inlineStr">
        <is>
          <t>Raise</t>
        </is>
      </c>
    </row>
    <row r="35">
      <c r="A35" s="7" t="inlineStr">
        <is>
          <t>First raise</t>
        </is>
      </c>
      <c r="B35" s="16" t="n">
        <v>45839</v>
      </c>
      <c r="C35" s="20" t="n">
        <v>0.03</v>
      </c>
      <c r="D35" s="2" t="inlineStr">
        <is>
          <t>Compounded, not added: 3% then 1% then 3% = 7.1509% total.</t>
        </is>
      </c>
    </row>
    <row r="36">
      <c r="A36" s="7" t="inlineStr">
        <is>
          <t>Second raise</t>
        </is>
      </c>
      <c r="B36" s="16" t="n">
        <v>46023</v>
      </c>
      <c r="C36" s="20" t="n">
        <v>0.01</v>
      </c>
    </row>
    <row r="37">
      <c r="A37" s="7" t="inlineStr">
        <is>
          <t>Third raise</t>
        </is>
      </c>
      <c r="B37" s="16" t="n">
        <v>46204</v>
      </c>
      <c r="C37" s="20" t="n">
        <v>0.03</v>
      </c>
    </row>
    <row r="38">
      <c r="A38" s="7" t="inlineStr">
        <is>
          <t>Award longevity schedule effective</t>
        </is>
      </c>
      <c r="B38" s="16" t="n">
        <v>46023</v>
      </c>
      <c r="C38" s="2" t="inlineStr">
        <is>
          <t>Before this date the old longevity percentages apply.</t>
        </is>
      </c>
    </row>
    <row r="39"/>
    <row r="40">
      <c r="A40" s="3" t="inlineStr">
        <is>
          <t>Years of service</t>
        </is>
      </c>
      <c r="B40" s="3" t="inlineStr">
        <is>
          <t>Old longevity %</t>
        </is>
      </c>
      <c r="C40" s="3" t="inlineStr">
        <is>
          <t>Award longevity %</t>
        </is>
      </c>
      <c r="D40" s="2" t="inlineStr">
        <is>
          <t>Longevity is paid on base + fire premium.</t>
        </is>
      </c>
    </row>
    <row r="41">
      <c r="A41" s="21" t="n">
        <v>0</v>
      </c>
      <c r="B41" s="22" t="n">
        <v>0</v>
      </c>
      <c r="C41" s="22" t="n">
        <v>0</v>
      </c>
    </row>
    <row r="42">
      <c r="A42" s="21" t="n">
        <v>3</v>
      </c>
      <c r="B42" s="22" t="n">
        <v>0.033</v>
      </c>
      <c r="C42" s="22" t="n">
        <v>0.043</v>
      </c>
    </row>
    <row r="43">
      <c r="A43" s="21" t="n">
        <v>5</v>
      </c>
      <c r="B43" s="22" t="n">
        <v>0.038</v>
      </c>
      <c r="C43" s="22" t="n">
        <v>0.048</v>
      </c>
    </row>
    <row r="44">
      <c r="A44" s="21" t="n">
        <v>10</v>
      </c>
      <c r="B44" s="22" t="n">
        <v>0.045</v>
      </c>
      <c r="C44" s="22" t="n">
        <v>0.055</v>
      </c>
    </row>
    <row r="45">
      <c r="A45" s="21" t="n">
        <v>15</v>
      </c>
      <c r="B45" s="22" t="n">
        <v>0.052</v>
      </c>
      <c r="C45" s="22" t="n">
        <v>0.062</v>
      </c>
    </row>
    <row r="46">
      <c r="A46" s="21" t="n">
        <v>20</v>
      </c>
      <c r="B46" s="22" t="n">
        <v>0.057</v>
      </c>
      <c r="C46" s="22" t="n">
        <v>0.067</v>
      </c>
    </row>
    <row r="47">
      <c r="A47" s="21" t="n">
        <v>25</v>
      </c>
      <c r="B47" s="22" t="n">
        <v>0.063</v>
      </c>
      <c r="C47" s="22" t="n">
        <v>0.073</v>
      </c>
    </row>
    <row r="48">
      <c r="A48" s="21" t="n">
        <v>30</v>
      </c>
      <c r="B48" s="22" t="n">
        <v>0.068</v>
      </c>
      <c r="C48" s="22" t="n">
        <v>0.078</v>
      </c>
    </row>
    <row r="49"/>
    <row r="50">
      <c r="A50" s="3" t="inlineStr">
        <is>
          <t>HOW TO READ THIS</t>
        </is>
      </c>
    </row>
    <row r="51">
      <c r="A51" s="2" t="inlineStr">
        <is>
          <t>Columns are event-dated: a new column starts at every step anniversary and every award raise, so you can see the exact date each number takes effect.</t>
        </is>
      </c>
    </row>
    <row r="52">
      <c r="A52" s="2" t="inlineStr">
        <is>
          <t>'Scale Salary' is the pre-award GM# 23-73 figure for the step in effect. 'Award Raise Factor' is the compounded raise in effect on that date. Salary = the two multiplied.</t>
        </is>
      </c>
    </row>
    <row r="53">
      <c r="A53" s="2" t="inlineStr">
        <is>
          <t>The step dates (April 6) come from the original sheet. If your step anniversary is a different day, change the dates in row 4.</t>
        </is>
      </c>
    </row>
    <row r="54">
      <c r="A54" s="2" t="inlineStr"/>
    </row>
    <row r="55">
      <c r="A55" s="3" t="inlineStr">
        <is>
          <t>SOURCES &amp; ASSUMPTIONS</t>
        </is>
      </c>
    </row>
    <row r="56">
      <c r="A56" s="2" t="inlineStr">
        <is>
          <t>Raise percentages, effective dates and both longevity schedules: IAFF Local 22 - City of Philadelphia Act 111 Award, June 26, 2026, paragraphs 2-5.</t>
        </is>
      </c>
    </row>
    <row r="57">
      <c r="A57" s="2" t="inlineStr">
        <is>
          <t>Scale salaries, hour divisors (2192 / 2088), 84 + 8.4 hour split and the 12-hour OT row: taken from the original sheet in the photo.</t>
        </is>
      </c>
    </row>
    <row r="58">
      <c r="A58" s="2" t="inlineStr">
        <is>
          <t>Hire date of 04/06/2023 is an ASSUMPTION inferred from the Step 1 date. It drives the longevity brackets - fix it in the yellow cell above if it is wrong.</t>
        </is>
      </c>
    </row>
    <row r="59">
      <c r="A59" s="2" t="inlineStr">
        <is>
          <t>Longevity brackets are credited on the service anniversary; the award percentages apply from 01/01/2026 forward.</t>
        </is>
      </c>
    </row>
    <row r="60">
      <c r="A60" s="2" t="inlineStr"/>
    </row>
    <row r="61">
      <c r="A61" s="2" t="inlineStr">
        <is>
          <t>Gross pay before taxes. Estimates only - payroll rounds hourly rates, so expect pennies of difference against a real stub.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Every rank and step, before and after the Act 111 Award</t>
        </is>
      </c>
    </row>
    <row r="2">
      <c r="A2" s="2" t="inlineStr">
        <is>
          <t>Base salary only (no premium, no longevity). Award column = pre-award salary x 1.071509, except the paramedic-series ranks, which move to their own negotiated award scale on 07/01/2026.</t>
        </is>
      </c>
    </row>
    <row r="3"/>
    <row r="4">
      <c r="A4" s="3" t="inlineStr">
        <is>
          <t>Rank</t>
        </is>
      </c>
      <c r="B4" s="3" t="inlineStr">
        <is>
          <t>Scale</t>
        </is>
      </c>
      <c r="C4" s="23" t="inlineStr">
        <is>
          <t>Step 1</t>
        </is>
      </c>
      <c r="D4" s="23" t="inlineStr">
        <is>
          <t>Step 2</t>
        </is>
      </c>
      <c r="E4" s="23" t="inlineStr">
        <is>
          <t>Step 3</t>
        </is>
      </c>
      <c r="F4" s="23" t="inlineStr">
        <is>
          <t>Step 4</t>
        </is>
      </c>
      <c r="G4" s="23" t="inlineStr">
        <is>
          <t>Step 5</t>
        </is>
      </c>
      <c r="H4" s="23" t="inlineStr">
        <is>
          <t>Step 6</t>
        </is>
      </c>
      <c r="I4" s="3" t="inlineStr">
        <is>
          <t>Notes</t>
        </is>
      </c>
    </row>
    <row r="5">
      <c r="A5" s="3" t="inlineStr">
        <is>
          <t>FIREFIGHTER</t>
        </is>
      </c>
      <c r="B5" s="7" t="inlineStr">
        <is>
          <t>Pre-award</t>
        </is>
      </c>
      <c r="C5" s="24" t="n">
        <v>64982</v>
      </c>
      <c r="D5" s="24" t="n">
        <v>69492</v>
      </c>
      <c r="E5" s="24" t="n">
        <v>75814</v>
      </c>
      <c r="F5" s="24" t="n">
        <v>81227</v>
      </c>
      <c r="G5" s="24" t="n">
        <v>86643</v>
      </c>
      <c r="H5" s="24" t="n">
        <v>90253</v>
      </c>
    </row>
    <row r="6">
      <c r="A6" s="25" t="n"/>
      <c r="B6" s="26" t="inlineStr">
        <is>
          <t>With award</t>
        </is>
      </c>
      <c r="C6" s="27">
        <f>C5*(1+'Pay Scale'!$C$35)*(1+'Pay Scale'!$C$36)*(1+'Pay Scale'!$C$37)</f>
        <v/>
      </c>
      <c r="D6" s="27">
        <f>D5*(1+'Pay Scale'!$C$35)*(1+'Pay Scale'!$C$36)*(1+'Pay Scale'!$C$37)</f>
        <v/>
      </c>
      <c r="E6" s="27">
        <f>E5*(1+'Pay Scale'!$C$35)*(1+'Pay Scale'!$C$36)*(1+'Pay Scale'!$C$37)</f>
        <v/>
      </c>
      <c r="F6" s="27">
        <f>F5*(1+'Pay Scale'!$C$35)*(1+'Pay Scale'!$C$36)*(1+'Pay Scale'!$C$37)</f>
        <v/>
      </c>
      <c r="G6" s="27">
        <f>G5*(1+'Pay Scale'!$C$35)*(1+'Pay Scale'!$C$36)*(1+'Pay Scale'!$C$37)</f>
        <v/>
      </c>
      <c r="H6" s="27">
        <f>H5*(1+'Pay Scale'!$C$35)*(1+'Pay Scale'!$C$36)*(1+'Pay Scale'!$C$37)</f>
        <v/>
      </c>
      <c r="I6" s="25" t="n"/>
    </row>
    <row r="7">
      <c r="A7" s="3" t="inlineStr">
        <is>
          <t>EMERGENCY MEDICAL TECH</t>
        </is>
      </c>
      <c r="B7" s="7" t="inlineStr">
        <is>
          <t>Pre-award</t>
        </is>
      </c>
      <c r="C7" s="24" t="n">
        <v>54155</v>
      </c>
      <c r="D7" s="24" t="n">
        <v>57911</v>
      </c>
      <c r="E7" s="24" t="n">
        <v>63177</v>
      </c>
      <c r="F7" s="24" t="n">
        <v>67687</v>
      </c>
      <c r="G7" s="24" t="n">
        <v>72203</v>
      </c>
      <c r="H7" s="24" t="n">
        <v>75212</v>
      </c>
    </row>
    <row r="8">
      <c r="A8" s="25" t="n"/>
      <c r="B8" s="26" t="inlineStr">
        <is>
          <t>With award</t>
        </is>
      </c>
      <c r="C8" s="27">
        <f>C7*(1+'Pay Scale'!$C$35)*(1+'Pay Scale'!$C$36)*(1+'Pay Scale'!$C$37)</f>
        <v/>
      </c>
      <c r="D8" s="27">
        <f>D7*(1+'Pay Scale'!$C$35)*(1+'Pay Scale'!$C$36)*(1+'Pay Scale'!$C$37)</f>
        <v/>
      </c>
      <c r="E8" s="27">
        <f>E7*(1+'Pay Scale'!$C$35)*(1+'Pay Scale'!$C$36)*(1+'Pay Scale'!$C$37)</f>
        <v/>
      </c>
      <c r="F8" s="27">
        <f>F7*(1+'Pay Scale'!$C$35)*(1+'Pay Scale'!$C$36)*(1+'Pay Scale'!$C$37)</f>
        <v/>
      </c>
      <c r="G8" s="27">
        <f>G7*(1+'Pay Scale'!$C$35)*(1+'Pay Scale'!$C$36)*(1+'Pay Scale'!$C$37)</f>
        <v/>
      </c>
      <c r="H8" s="27">
        <f>H7*(1+'Pay Scale'!$C$35)*(1+'Pay Scale'!$C$36)*(1+'Pay Scale'!$C$37)</f>
        <v/>
      </c>
      <c r="I8" s="25" t="n"/>
    </row>
    <row r="9">
      <c r="A9" s="3" t="inlineStr">
        <is>
          <t>FIRE SERV PARAMEDIC</t>
        </is>
      </c>
      <c r="B9" s="7" t="inlineStr">
        <is>
          <t>Pre-award</t>
        </is>
      </c>
      <c r="C9" s="24" t="n">
        <v>64982</v>
      </c>
      <c r="D9" s="24" t="n">
        <v>76441</v>
      </c>
      <c r="E9" s="24" t="n">
        <v>83396</v>
      </c>
      <c r="F9" s="24" t="n">
        <v>89350</v>
      </c>
      <c r="G9" s="24" t="n">
        <v>95309</v>
      </c>
      <c r="H9" s="24" t="n">
        <v>99276</v>
      </c>
    </row>
    <row r="10">
      <c r="A10" s="25" t="n"/>
      <c r="B10" s="26" t="inlineStr">
        <is>
          <t>With award</t>
        </is>
      </c>
      <c r="C10" s="28" t="n">
        <v>72285</v>
      </c>
      <c r="D10" s="28" t="n">
        <v>85033</v>
      </c>
      <c r="E10" s="28" t="n">
        <v>92770</v>
      </c>
      <c r="F10" s="28" t="n">
        <v>99393</v>
      </c>
      <c r="G10" s="28" t="n">
        <v>106021</v>
      </c>
      <c r="H10" s="28" t="n">
        <v>110434</v>
      </c>
      <c r="I10" s="29" t="inlineStr">
        <is>
          <t>Paramedic-series award scale, effective 07/01/2026.</t>
        </is>
      </c>
    </row>
    <row r="11">
      <c r="A11" s="3" t="inlineStr">
        <is>
          <t>FIRE BOAT ENGINEER</t>
        </is>
      </c>
      <c r="B11" s="7" t="inlineStr">
        <is>
          <t>Pre-award</t>
        </is>
      </c>
      <c r="D11" s="24" t="n">
        <v>76441</v>
      </c>
      <c r="E11" s="24" t="n">
        <v>83396</v>
      </c>
      <c r="F11" s="24" t="n">
        <v>89350</v>
      </c>
      <c r="G11" s="24" t="n">
        <v>95305</v>
      </c>
      <c r="H11" s="24" t="n">
        <v>99278</v>
      </c>
    </row>
    <row r="12">
      <c r="A12" s="25" t="n"/>
      <c r="B12" s="26" t="inlineStr">
        <is>
          <t>With award</t>
        </is>
      </c>
      <c r="C12" s="25" t="n"/>
      <c r="D12" s="27">
        <f>D11*(1+'Pay Scale'!$C$35)*(1+'Pay Scale'!$C$36)*(1+'Pay Scale'!$C$37)</f>
        <v/>
      </c>
      <c r="E12" s="27">
        <f>E11*(1+'Pay Scale'!$C$35)*(1+'Pay Scale'!$C$36)*(1+'Pay Scale'!$C$37)</f>
        <v/>
      </c>
      <c r="F12" s="27">
        <f>F11*(1+'Pay Scale'!$C$35)*(1+'Pay Scale'!$C$36)*(1+'Pay Scale'!$C$37)</f>
        <v/>
      </c>
      <c r="G12" s="27">
        <f>G11*(1+'Pay Scale'!$C$35)*(1+'Pay Scale'!$C$36)*(1+'Pay Scale'!$C$37)</f>
        <v/>
      </c>
      <c r="H12" s="27">
        <f>H11*(1+'Pay Scale'!$C$35)*(1+'Pay Scale'!$C$36)*(1+'Pay Scale'!$C$37)</f>
        <v/>
      </c>
      <c r="I12" s="25" t="n"/>
    </row>
    <row r="13">
      <c r="A13" s="3" t="inlineStr">
        <is>
          <t>FIRE BOAT PILOT</t>
        </is>
      </c>
      <c r="B13" s="7" t="inlineStr">
        <is>
          <t>Pre-award</t>
        </is>
      </c>
      <c r="D13" s="24" t="n">
        <v>97747</v>
      </c>
      <c r="E13" s="24" t="n">
        <v>99859</v>
      </c>
      <c r="F13" s="24" t="n">
        <v>101985</v>
      </c>
    </row>
    <row r="14">
      <c r="A14" s="25" t="n"/>
      <c r="B14" s="26" t="inlineStr">
        <is>
          <t>With award</t>
        </is>
      </c>
      <c r="C14" s="25" t="n"/>
      <c r="D14" s="27">
        <f>D13*(1+'Pay Scale'!$C$35)*(1+'Pay Scale'!$C$36)*(1+'Pay Scale'!$C$37)</f>
        <v/>
      </c>
      <c r="E14" s="27">
        <f>E13*(1+'Pay Scale'!$C$35)*(1+'Pay Scale'!$C$36)*(1+'Pay Scale'!$C$37)</f>
        <v/>
      </c>
      <c r="F14" s="27">
        <f>F13*(1+'Pay Scale'!$C$35)*(1+'Pay Scale'!$C$36)*(1+'Pay Scale'!$C$37)</f>
        <v/>
      </c>
      <c r="G14" s="25" t="n"/>
      <c r="H14" s="25" t="n"/>
      <c r="I14" s="25" t="n"/>
    </row>
    <row r="15">
      <c r="A15" s="3" t="inlineStr">
        <is>
          <t>FIRE LIEUTENANT</t>
        </is>
      </c>
      <c r="B15" s="7" t="inlineStr">
        <is>
          <t>Pre-award</t>
        </is>
      </c>
      <c r="D15" s="24" t="n">
        <v>98611</v>
      </c>
      <c r="E15" s="24" t="n">
        <v>100744</v>
      </c>
      <c r="F15" s="24" t="n">
        <v>102887</v>
      </c>
    </row>
    <row r="16">
      <c r="A16" s="25" t="n"/>
      <c r="B16" s="26" t="inlineStr">
        <is>
          <t>With award</t>
        </is>
      </c>
      <c r="C16" s="25" t="n"/>
      <c r="D16" s="27">
        <f>D15*(1+'Pay Scale'!$C$35)*(1+'Pay Scale'!$C$36)*(1+'Pay Scale'!$C$37)</f>
        <v/>
      </c>
      <c r="E16" s="27">
        <f>E15*(1+'Pay Scale'!$C$35)*(1+'Pay Scale'!$C$36)*(1+'Pay Scale'!$C$37)</f>
        <v/>
      </c>
      <c r="F16" s="27">
        <f>F15*(1+'Pay Scale'!$C$35)*(1+'Pay Scale'!$C$36)*(1+'Pay Scale'!$C$37)</f>
        <v/>
      </c>
      <c r="G16" s="25" t="n"/>
      <c r="H16" s="25" t="n"/>
      <c r="I16" s="25" t="n"/>
    </row>
    <row r="17">
      <c r="A17" s="3" t="inlineStr">
        <is>
          <t>FIRE PARA LIEUT</t>
        </is>
      </c>
      <c r="B17" s="7" t="inlineStr">
        <is>
          <t>Pre-award</t>
        </is>
      </c>
      <c r="D17" s="24" t="n">
        <v>98611</v>
      </c>
      <c r="E17" s="24" t="n">
        <v>100744</v>
      </c>
      <c r="F17" s="24" t="n">
        <v>102887</v>
      </c>
    </row>
    <row r="18">
      <c r="A18" s="25" t="n"/>
      <c r="B18" s="26" t="inlineStr">
        <is>
          <t>With award</t>
        </is>
      </c>
      <c r="C18" s="25" t="n"/>
      <c r="D18" s="28" t="n">
        <v>109695</v>
      </c>
      <c r="E18" s="28" t="n">
        <v>112067</v>
      </c>
      <c r="F18" s="28" t="n">
        <v>114452</v>
      </c>
      <c r="G18" s="25" t="n"/>
      <c r="H18" s="25" t="n"/>
      <c r="I18" s="29" t="inlineStr">
        <is>
          <t>Paramedic-series award scale, effective 07/01/2026.</t>
        </is>
      </c>
    </row>
    <row r="19">
      <c r="A19" s="3" t="inlineStr">
        <is>
          <t>FIRE CAPTAIN</t>
        </is>
      </c>
      <c r="B19" s="7" t="inlineStr">
        <is>
          <t>Pre-award</t>
        </is>
      </c>
      <c r="D19" s="24" t="n">
        <v>112417</v>
      </c>
      <c r="E19" s="24" t="n">
        <v>114849</v>
      </c>
      <c r="F19" s="24" t="n">
        <v>117290</v>
      </c>
    </row>
    <row r="20">
      <c r="A20" s="25" t="n"/>
      <c r="B20" s="26" t="inlineStr">
        <is>
          <t>With award</t>
        </is>
      </c>
      <c r="C20" s="25" t="n"/>
      <c r="D20" s="27">
        <f>D19*(1+'Pay Scale'!$C$35)*(1+'Pay Scale'!$C$36)*(1+'Pay Scale'!$C$37)</f>
        <v/>
      </c>
      <c r="E20" s="27">
        <f>E19*(1+'Pay Scale'!$C$35)*(1+'Pay Scale'!$C$36)*(1+'Pay Scale'!$C$37)</f>
        <v/>
      </c>
      <c r="F20" s="27">
        <f>F19*(1+'Pay Scale'!$C$35)*(1+'Pay Scale'!$C$36)*(1+'Pay Scale'!$C$37)</f>
        <v/>
      </c>
      <c r="G20" s="25" t="n"/>
      <c r="H20" s="25" t="n"/>
      <c r="I20" s="25" t="n"/>
    </row>
    <row r="21">
      <c r="A21" s="3" t="inlineStr">
        <is>
          <t>FIRE PARA CAPT</t>
        </is>
      </c>
      <c r="B21" s="7" t="inlineStr">
        <is>
          <t>Pre-award</t>
        </is>
      </c>
      <c r="D21" s="24" t="n">
        <v>112417</v>
      </c>
      <c r="E21" s="24" t="n">
        <v>114849</v>
      </c>
      <c r="F21" s="24" t="n">
        <v>117290</v>
      </c>
    </row>
    <row r="22">
      <c r="A22" s="25" t="n"/>
      <c r="B22" s="26" t="inlineStr">
        <is>
          <t>With award</t>
        </is>
      </c>
      <c r="C22" s="25" t="n"/>
      <c r="D22" s="28" t="n">
        <v>122858</v>
      </c>
      <c r="E22" s="28" t="n">
        <v>125515</v>
      </c>
      <c r="F22" s="28" t="n">
        <v>128186</v>
      </c>
      <c r="G22" s="25" t="n"/>
      <c r="H22" s="25" t="n"/>
      <c r="I22" s="29" t="inlineStr">
        <is>
          <t>Paramedic-series award scale, effective 07/01/2026.</t>
        </is>
      </c>
    </row>
    <row r="23">
      <c r="A23" s="3" t="inlineStr">
        <is>
          <t>FSP INFECTION CONTROL OFF.</t>
        </is>
      </c>
      <c r="B23" s="7" t="inlineStr">
        <is>
          <t>Pre-award</t>
        </is>
      </c>
      <c r="D23" s="24" t="n">
        <v>112417</v>
      </c>
      <c r="E23" s="24" t="n">
        <v>114849</v>
      </c>
      <c r="F23" s="24" t="n">
        <v>117290</v>
      </c>
    </row>
    <row r="24">
      <c r="A24" s="25" t="n"/>
      <c r="B24" s="26" t="inlineStr">
        <is>
          <t>With award</t>
        </is>
      </c>
      <c r="C24" s="25" t="n"/>
      <c r="D24" s="27">
        <f>D23*(1+'Pay Scale'!$C$35)*(1+'Pay Scale'!$C$36)*(1+'Pay Scale'!$C$37)</f>
        <v/>
      </c>
      <c r="E24" s="27">
        <f>E23*(1+'Pay Scale'!$C$35)*(1+'Pay Scale'!$C$36)*(1+'Pay Scale'!$C$37)</f>
        <v/>
      </c>
      <c r="F24" s="27">
        <f>F23*(1+'Pay Scale'!$C$35)*(1+'Pay Scale'!$C$36)*(1+'Pay Scale'!$C$37)</f>
        <v/>
      </c>
      <c r="G24" s="25" t="n"/>
      <c r="H24" s="25" t="n"/>
      <c r="I24" s="25" t="n"/>
    </row>
    <row r="25">
      <c r="A25" s="3" t="inlineStr">
        <is>
          <t>FIRE BATTALION CHIEF</t>
        </is>
      </c>
      <c r="B25" s="7" t="inlineStr">
        <is>
          <t>Pre-award</t>
        </is>
      </c>
      <c r="D25" s="24" t="n">
        <v>130405</v>
      </c>
      <c r="E25" s="24" t="n">
        <v>133226</v>
      </c>
      <c r="F25" s="24" t="n">
        <v>136058</v>
      </c>
    </row>
    <row r="26">
      <c r="A26" s="25" t="n"/>
      <c r="B26" s="26" t="inlineStr">
        <is>
          <t>With award</t>
        </is>
      </c>
      <c r="C26" s="25" t="n"/>
      <c r="D26" s="27">
        <f>D25*(1+'Pay Scale'!$C$35)*(1+'Pay Scale'!$C$36)*(1+'Pay Scale'!$C$37)</f>
        <v/>
      </c>
      <c r="E26" s="27">
        <f>E25*(1+'Pay Scale'!$C$35)*(1+'Pay Scale'!$C$36)*(1+'Pay Scale'!$C$37)</f>
        <v/>
      </c>
      <c r="F26" s="27">
        <f>F25*(1+'Pay Scale'!$C$35)*(1+'Pay Scale'!$C$36)*(1+'Pay Scale'!$C$37)</f>
        <v/>
      </c>
      <c r="G26" s="25" t="n"/>
      <c r="H26" s="25" t="n"/>
      <c r="I26" s="25" t="n"/>
    </row>
    <row r="27">
      <c r="A27" s="3" t="inlineStr">
        <is>
          <t>FIRE PARA BATTALION CHIEF</t>
        </is>
      </c>
      <c r="B27" s="7" t="inlineStr">
        <is>
          <t>Pre-award</t>
        </is>
      </c>
      <c r="D27" s="24" t="n">
        <v>130405</v>
      </c>
      <c r="E27" s="24" t="n">
        <v>133226</v>
      </c>
      <c r="F27" s="24" t="n">
        <v>136058</v>
      </c>
    </row>
    <row r="28">
      <c r="A28" s="25" t="n"/>
      <c r="B28" s="26" t="inlineStr">
        <is>
          <t>With award</t>
        </is>
      </c>
      <c r="C28" s="25" t="n"/>
      <c r="D28" s="28" t="n">
        <v>138830</v>
      </c>
      <c r="E28" s="28" t="n">
        <v>141832</v>
      </c>
      <c r="F28" s="28" t="n">
        <v>144850</v>
      </c>
      <c r="G28" s="25" t="n"/>
      <c r="H28" s="25" t="n"/>
      <c r="I28" s="29" t="inlineStr">
        <is>
          <t>Paramedic-series award scale, effective 07/01/2026.</t>
        </is>
      </c>
    </row>
    <row r="29">
      <c r="A29" s="3" t="inlineStr">
        <is>
          <t>FIRE DEPUTY CHIEF</t>
        </is>
      </c>
      <c r="B29" s="7" t="inlineStr">
        <is>
          <t>Pre-award</t>
        </is>
      </c>
      <c r="D29" s="24" t="n">
        <v>148660</v>
      </c>
      <c r="E29" s="24" t="n">
        <v>151875</v>
      </c>
      <c r="F29" s="24" t="n">
        <v>155106</v>
      </c>
    </row>
    <row r="30">
      <c r="A30" s="25" t="n"/>
      <c r="B30" s="26" t="inlineStr">
        <is>
          <t>With award</t>
        </is>
      </c>
      <c r="C30" s="25" t="n"/>
      <c r="D30" s="27">
        <f>D29*(1+'Pay Scale'!$C$35)*(1+'Pay Scale'!$C$36)*(1+'Pay Scale'!$C$37)</f>
        <v/>
      </c>
      <c r="E30" s="27">
        <f>E29*(1+'Pay Scale'!$C$35)*(1+'Pay Scale'!$C$36)*(1+'Pay Scale'!$C$37)</f>
        <v/>
      </c>
      <c r="F30" s="27">
        <f>F29*(1+'Pay Scale'!$C$35)*(1+'Pay Scale'!$C$36)*(1+'Pay Scale'!$C$37)</f>
        <v/>
      </c>
      <c r="G30" s="25" t="n"/>
      <c r="H30" s="25" t="n"/>
      <c r="I30" s="25" t="n"/>
    </row>
    <row r="31">
      <c r="A31" s="3" t="inlineStr">
        <is>
          <t>FIRE PARA DEPUTY CHIEF</t>
        </is>
      </c>
      <c r="B31" s="7" t="inlineStr">
        <is>
          <t>Pre-award</t>
        </is>
      </c>
      <c r="D31" s="24" t="n">
        <v>148660</v>
      </c>
      <c r="E31" s="24" t="n">
        <v>151875</v>
      </c>
      <c r="F31" s="24" t="n">
        <v>155106</v>
      </c>
    </row>
    <row r="32">
      <c r="A32" s="25" t="n"/>
      <c r="B32" s="26" t="inlineStr">
        <is>
          <t>With award</t>
        </is>
      </c>
      <c r="C32" s="25" t="n"/>
      <c r="D32" s="28" t="n">
        <v>158266</v>
      </c>
      <c r="E32" s="28" t="n">
        <v>161688</v>
      </c>
      <c r="F32" s="28" t="n">
        <v>165130</v>
      </c>
      <c r="G32" s="25" t="n"/>
      <c r="H32" s="25" t="n"/>
      <c r="I32" s="29" t="inlineStr">
        <is>
          <t>Paramedic-series award scale, effective 07/01/2026.</t>
        </is>
      </c>
    </row>
    <row r="33">
      <c r="A33" s="3" t="inlineStr">
        <is>
          <t>ASSISTANT FIRE CHIEF</t>
        </is>
      </c>
      <c r="B33" s="7" t="inlineStr">
        <is>
          <t>Pre-award</t>
        </is>
      </c>
      <c r="D33" s="24" t="n">
        <v>169474</v>
      </c>
      <c r="E33" s="24" t="n">
        <v>173139</v>
      </c>
      <c r="F33" s="24" t="n">
        <v>176820</v>
      </c>
    </row>
    <row r="34">
      <c r="A34" s="25" t="n"/>
      <c r="B34" s="26" t="inlineStr">
        <is>
          <t>With award</t>
        </is>
      </c>
      <c r="C34" s="25" t="n"/>
      <c r="D34" s="27">
        <f>D33*(1+'Pay Scale'!$C$35)*(1+'Pay Scale'!$C$36)*(1+'Pay Scale'!$C$37)</f>
        <v/>
      </c>
      <c r="E34" s="27">
        <f>E33*(1+'Pay Scale'!$C$35)*(1+'Pay Scale'!$C$36)*(1+'Pay Scale'!$C$37)</f>
        <v/>
      </c>
      <c r="F34" s="27">
        <f>F33*(1+'Pay Scale'!$C$35)*(1+'Pay Scale'!$C$36)*(1+'Pay Scale'!$C$37)</f>
        <v/>
      </c>
      <c r="G34" s="25" t="n"/>
      <c r="H34" s="25" t="n"/>
      <c r="I34" s="25" t="n"/>
    </row>
    <row r="35"/>
    <row r="36">
      <c r="A36" s="2" t="inlineStr">
        <is>
          <t>Award factor 1.071509 = 1.03 x 1.01 x 1.03 (compounded).</t>
        </is>
      </c>
    </row>
    <row r="37">
      <c r="A37" s="2" t="inlineStr">
        <is>
          <t>Source: IAFF Local 22 - City of Philadelphia Act 111 Award, June 26, 2026, paragraphs 2-5.</t>
        </is>
      </c>
    </row>
    <row r="38">
      <c r="A38" s="2" t="inlineStr">
        <is>
          <t>Base salary before premium, longevity and overtime.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2026-09-18T20:05:16Z</dcterms:created>
  <dcterms:modified xsi:type="dcterms:W3CDTF">2026-09-18T20:05:16Z</dcterms:modified>
</cp:coreProperties>
</file>